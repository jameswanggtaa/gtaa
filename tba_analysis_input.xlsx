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iyu\OneDrive\Documents\python\"/>
    </mc:Choice>
  </mc:AlternateContent>
  <xr:revisionPtr revIDLastSave="0" documentId="13_ncr:1_{3B5FD5FD-901E-42E9-B484-EFA070EA3FA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ba_analysis_results" sheetId="1" r:id="rId1"/>
  </sheets>
  <calcPr calcId="191029"/>
</workbook>
</file>

<file path=xl/calcChain.xml><?xml version="1.0" encoding="utf-8"?>
<calcChain xmlns="http://schemas.openxmlformats.org/spreadsheetml/2006/main">
  <c r="I9" i="1" l="1"/>
  <c r="I4" i="1" l="1"/>
  <c r="I5" i="1" s="1"/>
  <c r="I6" i="1" s="1"/>
  <c r="I7" i="1" s="1"/>
  <c r="I8" i="1" s="1"/>
  <c r="I3" i="1"/>
</calcChain>
</file>

<file path=xl/sharedStrings.xml><?xml version="1.0" encoding="utf-8"?>
<sst xmlns="http://schemas.openxmlformats.org/spreadsheetml/2006/main" count="43" uniqueCount="27">
  <si>
    <t>cusip</t>
  </si>
  <si>
    <t>coupon</t>
  </si>
  <si>
    <t>maturity</t>
  </si>
  <si>
    <t>current_balance</t>
  </si>
  <si>
    <t>book_value</t>
  </si>
  <si>
    <t>market_value</t>
  </si>
  <si>
    <t>book_price</t>
  </si>
  <si>
    <t>market_price</t>
  </si>
  <si>
    <t>3128MDYL1</t>
  </si>
  <si>
    <t>3128MEAH4</t>
  </si>
  <si>
    <t>3128MFS41</t>
  </si>
  <si>
    <t>000416V38</t>
  </si>
  <si>
    <t>005104HJ6</t>
  </si>
  <si>
    <t>0054823B8</t>
  </si>
  <si>
    <t>912828Z78</t>
  </si>
  <si>
    <t>Curve_date</t>
  </si>
  <si>
    <t>Prepay_model</t>
  </si>
  <si>
    <t>Prepay_rate</t>
  </si>
  <si>
    <t>Vol_model</t>
  </si>
  <si>
    <t>Curve_Type</t>
  </si>
  <si>
    <t>Model2501</t>
  </si>
  <si>
    <t>LMMSOFRFLAT</t>
  </si>
  <si>
    <t>RFRSwap</t>
  </si>
  <si>
    <t>Muni</t>
  </si>
  <si>
    <t>Single</t>
  </si>
  <si>
    <t>3140HRSF1</t>
  </si>
  <si>
    <t>CPY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</si>
</sst>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R7" sqref="R7"/>
    </sheetView>
  </sheetViews>
  <sheetFormatPr defaultRowHeight="15" x14ac:dyDescent="0.25"/>
  <cols>
    <col min="1" max="1" width="20.28515625" customWidth="1"/>
    <col min="2" max="2" width="7.5703125" bestFit="1" customWidth="1"/>
    <col min="3" max="3" width="9.7109375" bestFit="1" customWidth="1"/>
    <col min="4" max="4" width="15.42578125" bestFit="1" customWidth="1"/>
    <col min="5" max="5" width="11.28515625" bestFit="1" customWidth="1"/>
    <col min="6" max="6" width="13.28515625" bestFit="1" customWidth="1"/>
    <col min="7" max="7" width="10.85546875" bestFit="1" customWidth="1"/>
    <col min="8" max="8" width="12.7109375" bestFit="1" customWidth="1"/>
    <col min="9" max="9" width="11.140625" bestFit="1" customWidth="1"/>
    <col min="10" max="10" width="1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5">
      <c r="A2" t="s">
        <v>8</v>
      </c>
      <c r="B2">
        <v>2.5</v>
      </c>
      <c r="C2" s="1">
        <v>47150</v>
      </c>
      <c r="D2">
        <v>2333880</v>
      </c>
      <c r="E2">
        <v>2334360</v>
      </c>
      <c r="F2">
        <v>2296504.6</v>
      </c>
      <c r="G2">
        <v>100.0206</v>
      </c>
      <c r="H2">
        <v>98.398594000000003</v>
      </c>
      <c r="I2" s="1">
        <v>46022</v>
      </c>
      <c r="J2" t="s">
        <v>20</v>
      </c>
      <c r="K2">
        <v>100</v>
      </c>
      <c r="L2" t="s">
        <v>21</v>
      </c>
      <c r="M2" t="s">
        <v>22</v>
      </c>
    </row>
    <row r="3" spans="1:13" x14ac:dyDescent="0.25">
      <c r="A3" t="s">
        <v>9</v>
      </c>
      <c r="B3">
        <v>2.5</v>
      </c>
      <c r="C3" s="1">
        <v>47423</v>
      </c>
      <c r="D3">
        <v>26923</v>
      </c>
      <c r="E3">
        <v>27152.9</v>
      </c>
      <c r="F3">
        <v>26337</v>
      </c>
      <c r="G3">
        <v>100.8533</v>
      </c>
      <c r="H3">
        <v>97.824461999999997</v>
      </c>
      <c r="I3" s="1">
        <f>I2</f>
        <v>46022</v>
      </c>
      <c r="J3" t="s">
        <v>20</v>
      </c>
      <c r="K3">
        <v>100</v>
      </c>
      <c r="L3" t="s">
        <v>21</v>
      </c>
      <c r="M3" t="s">
        <v>22</v>
      </c>
    </row>
    <row r="4" spans="1:13" x14ac:dyDescent="0.25">
      <c r="A4" t="s">
        <v>10</v>
      </c>
      <c r="B4">
        <v>3</v>
      </c>
      <c r="C4" s="1">
        <v>48823</v>
      </c>
      <c r="D4">
        <v>3678564</v>
      </c>
      <c r="E4">
        <v>3705252.78</v>
      </c>
      <c r="F4">
        <v>3597153</v>
      </c>
      <c r="G4">
        <v>100.7255</v>
      </c>
      <c r="H4">
        <v>97.786890999999997</v>
      </c>
      <c r="I4" s="1">
        <f t="shared" ref="I4:I9" si="0">I3</f>
        <v>46022</v>
      </c>
      <c r="J4" t="s">
        <v>20</v>
      </c>
      <c r="K4">
        <v>100</v>
      </c>
      <c r="L4" t="s">
        <v>21</v>
      </c>
      <c r="M4" t="s">
        <v>22</v>
      </c>
    </row>
    <row r="5" spans="1:13" x14ac:dyDescent="0.25">
      <c r="A5" t="s">
        <v>11</v>
      </c>
      <c r="B5">
        <v>3</v>
      </c>
      <c r="C5" s="1">
        <v>49888</v>
      </c>
      <c r="D5">
        <v>580000</v>
      </c>
      <c r="E5">
        <v>579950</v>
      </c>
      <c r="F5">
        <v>566050</v>
      </c>
      <c r="G5">
        <v>99.991500000000002</v>
      </c>
      <c r="H5">
        <v>97.594890000000007</v>
      </c>
      <c r="I5" s="1">
        <f t="shared" si="0"/>
        <v>46022</v>
      </c>
      <c r="J5" t="s">
        <v>23</v>
      </c>
      <c r="K5">
        <v>100</v>
      </c>
      <c r="L5" t="s">
        <v>24</v>
      </c>
      <c r="M5" t="s">
        <v>22</v>
      </c>
    </row>
    <row r="6" spans="1:13" x14ac:dyDescent="0.25">
      <c r="A6" t="s">
        <v>12</v>
      </c>
      <c r="B6">
        <v>3.5</v>
      </c>
      <c r="C6" s="1">
        <v>49157</v>
      </c>
      <c r="D6">
        <v>935000</v>
      </c>
      <c r="E6">
        <v>935000</v>
      </c>
      <c r="F6">
        <v>935202</v>
      </c>
      <c r="G6">
        <v>100</v>
      </c>
      <c r="H6">
        <v>100.0217</v>
      </c>
      <c r="I6" s="1">
        <f t="shared" si="0"/>
        <v>46022</v>
      </c>
      <c r="J6" t="s">
        <v>23</v>
      </c>
      <c r="K6">
        <v>100</v>
      </c>
      <c r="L6" t="s">
        <v>24</v>
      </c>
      <c r="M6" t="s">
        <v>22</v>
      </c>
    </row>
    <row r="7" spans="1:13" x14ac:dyDescent="0.25">
      <c r="A7" t="s">
        <v>13</v>
      </c>
      <c r="B7">
        <v>5</v>
      </c>
      <c r="C7" s="1">
        <v>48183</v>
      </c>
      <c r="D7">
        <v>3000000</v>
      </c>
      <c r="E7">
        <v>3076043.57</v>
      </c>
      <c r="F7">
        <v>3063653</v>
      </c>
      <c r="G7">
        <v>102.5348</v>
      </c>
      <c r="H7">
        <v>102.12177</v>
      </c>
      <c r="I7" s="1">
        <f t="shared" si="0"/>
        <v>46022</v>
      </c>
      <c r="J7" t="s">
        <v>23</v>
      </c>
      <c r="K7">
        <v>100</v>
      </c>
      <c r="L7" t="s">
        <v>24</v>
      </c>
      <c r="M7" t="s">
        <v>22</v>
      </c>
    </row>
    <row r="8" spans="1:13" x14ac:dyDescent="0.25">
      <c r="A8" t="s">
        <v>14</v>
      </c>
      <c r="B8">
        <v>1.5</v>
      </c>
      <c r="C8" s="1">
        <v>46418</v>
      </c>
      <c r="D8">
        <v>50000000</v>
      </c>
      <c r="E8">
        <v>49498350</v>
      </c>
      <c r="F8">
        <v>48931640.600000001</v>
      </c>
      <c r="G8">
        <v>98.996700000000004</v>
      </c>
      <c r="H8">
        <v>97.863281000000001</v>
      </c>
      <c r="I8" s="1">
        <f t="shared" si="0"/>
        <v>46022</v>
      </c>
      <c r="M8" t="s">
        <v>22</v>
      </c>
    </row>
    <row r="9" spans="1:13" x14ac:dyDescent="0.25">
      <c r="A9" t="s">
        <v>25</v>
      </c>
      <c r="B9">
        <v>4.04</v>
      </c>
      <c r="C9" s="1">
        <v>47818</v>
      </c>
      <c r="D9">
        <v>12000000</v>
      </c>
      <c r="E9">
        <v>11708394</v>
      </c>
      <c r="F9">
        <v>11936884.9</v>
      </c>
      <c r="G9">
        <v>97.57</v>
      </c>
      <c r="H9">
        <v>99.474000000000004</v>
      </c>
      <c r="I9" s="1">
        <f t="shared" si="0"/>
        <v>46022</v>
      </c>
      <c r="J9" t="s">
        <v>26</v>
      </c>
      <c r="K9">
        <v>0</v>
      </c>
      <c r="L9" t="s">
        <v>21</v>
      </c>
      <c r="M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tba_analysis_results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Wang</dc:creator>
  <cp:lastModifiedBy>Zhiyuan Wang</cp:lastModifiedBy>
  <dcterms:created xsi:type="dcterms:W3CDTF">2026-03-16T00:38:14Z</dcterms:created>
  <dcterms:modified xsi:type="dcterms:W3CDTF">2026-03-16T01:11:02Z</dcterms:modified>
</cp:coreProperties>
</file>